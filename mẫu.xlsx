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2" sheetId="1" r:id="rId5"/>
  </sheets>
  <definedNames/>
  <calcPr/>
</workbook>
</file>

<file path=xl/sharedStrings.xml><?xml version="1.0" encoding="utf-8"?>
<sst xmlns="http://schemas.openxmlformats.org/spreadsheetml/2006/main" count="32" uniqueCount="24">
  <si>
    <t>Tên</t>
  </si>
  <si>
    <t>Ngày</t>
  </si>
  <si>
    <t>Số lượng</t>
  </si>
  <si>
    <t>Đơn vị</t>
  </si>
  <si>
    <t xml:space="preserve"> Đơn giá (nghìn ồng)</t>
  </si>
  <si>
    <t>Phát sinh (ship, xe, VAT)</t>
  </si>
  <si>
    <t>Tổng giá</t>
  </si>
  <si>
    <t>Link bill: 4/10 - 11/10</t>
  </si>
  <si>
    <t>Sắt - Thép</t>
  </si>
  <si>
    <t>50 x 100 x 1.2</t>
  </si>
  <si>
    <t>cây</t>
  </si>
  <si>
    <t>40 x 80 x 1.1</t>
  </si>
  <si>
    <t>30 x 60 x 1.1</t>
  </si>
  <si>
    <t>vuông 30 x 1.1</t>
  </si>
  <si>
    <t>Vuông 20 x 1.1</t>
  </si>
  <si>
    <t>vuông 25 x 1.1</t>
  </si>
  <si>
    <t>o60 x 1.2</t>
  </si>
  <si>
    <t>Dụng cụ</t>
  </si>
  <si>
    <t>Bulon ốc vít</t>
  </si>
  <si>
    <t>bộ</t>
  </si>
  <si>
    <t>Bao tay</t>
  </si>
  <si>
    <t>bịch</t>
  </si>
  <si>
    <t>Dây hơi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</si>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</sst>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\ [$đ-42A]"/>
    <numFmt numFmtId="165" formatCode="d/m/yyyy"/>
  </numFmts>
  <fonts count="8">
    <font>
      <sz val="10.0"/>
      <color rgb="FF000000"/>
      <name val="Arial"/>
      <scheme val="minor"/>
    </font>
    <font>
      <b/>
      <sz val="12.0"/>
      <color theme="1"/>
      <name val="Arial"/>
    </font>
    <font>
      <b/>
      <sz val="13.0"/>
      <color theme="1"/>
      <name val="Arial"/>
    </font>
    <font>
      <color theme="1"/>
      <name val="Arial"/>
    </font>
    <font>
      <u/>
      <sz val="12.0"/>
      <color theme="1"/>
      <name val="Arial"/>
    </font>
    <font>
      <b/>
      <sz val="12.0"/>
      <color rgb="FFFFFFFF"/>
      <name val="Arial"/>
    </font>
    <font/>
    <font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164" xfId="0" applyAlignment="1" applyBorder="1" applyFill="1" applyFont="1" applyNumberFormat="1">
      <alignment horizontal="right" vertical="bottom"/>
    </xf>
    <xf borderId="0" fillId="3" fontId="2" numFmtId="164" xfId="0" applyAlignment="1" applyFill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2" fillId="4" fontId="5" numFmtId="0" xfId="0" applyAlignment="1" applyBorder="1" applyFill="1" applyFont="1">
      <alignment horizontal="center" vertical="bottom"/>
    </xf>
    <xf borderId="3" fillId="0" fontId="6" numFmtId="0" xfId="0" applyBorder="1" applyFont="1"/>
    <xf borderId="4" fillId="0" fontId="6" numFmtId="0" xfId="0" applyBorder="1" applyFont="1"/>
    <xf borderId="1" fillId="0" fontId="7" numFmtId="0" xfId="0" applyAlignment="1" applyBorder="1" applyFont="1">
      <alignment vertical="bottom"/>
    </xf>
    <xf borderId="1" fillId="0" fontId="7" numFmtId="165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horizontal="right" vertical="bottom"/>
    </xf>
    <xf borderId="1" fillId="0" fontId="7" numFmtId="0" xfId="0" applyAlignment="1" applyBorder="1" applyFont="1">
      <alignment horizontal="center" vertical="bottom"/>
    </xf>
    <xf borderId="1" fillId="0" fontId="7" numFmtId="164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vertical="bottom"/>
    </xf>
    <xf borderId="1" fillId="5" fontId="7" numFmtId="0" xfId="0" applyAlignment="1" applyBorder="1" applyFill="1" applyFont="1">
      <alignment vertical="bottom"/>
    </xf>
    <xf borderId="1" fillId="5" fontId="7" numFmtId="165" xfId="0" applyAlignment="1" applyBorder="1" applyFill="1" applyFont="1" applyNumberFormat="1">
      <alignment horizontal="right" vertical="bottom"/>
    </xf>
    <xf borderId="1" fillId="5" fontId="7" numFmtId="0" xfId="0" applyAlignment="1" applyBorder="1" applyFill="1" applyFont="1">
      <alignment horizontal="right" vertical="bottom"/>
    </xf>
    <xf borderId="1" fillId="5" fontId="7" numFmtId="0" xfId="0" applyAlignment="1" applyBorder="1" applyFill="1" applyFont="1">
      <alignment horizontal="center" vertical="bottom"/>
    </xf>
    <xf borderId="1" fillId="5" fontId="7" numFmtId="164" xfId="0" applyAlignment="1" applyBorder="1" applyFill="1" applyFont="1" applyNumberFormat="1">
      <alignment horizontal="right" vertical="bottom"/>
    </xf>
    <xf borderId="1" fillId="5" fontId="3" numFmtId="164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xKMoym4UovUPX8rr5EzUG5d5a6idwh0z?usp=drive_lin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>
        <f>sum(G:G)</f>
        <v>10404000</v>
      </c>
      <c r="I1" s="5"/>
      <c r="J1" s="6" t="s">
        <v>7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7" t="s">
        <v>8</v>
      </c>
      <c r="B2" s="8"/>
      <c r="C2" s="8"/>
      <c r="D2" s="8"/>
      <c r="E2" s="8"/>
      <c r="F2" s="8"/>
      <c r="G2" s="9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>
      <c r="A3" s="10" t="s">
        <v>9</v>
      </c>
      <c r="B3" s="11">
        <v>46307.0</v>
      </c>
      <c r="C3" s="12">
        <v>2.0</v>
      </c>
      <c r="D3" s="13" t="s">
        <v>10</v>
      </c>
      <c r="E3" s="14">
        <v>351000.0</v>
      </c>
      <c r="F3" s="15"/>
      <c r="G3" s="14">
        <f t="shared" ref="G3:G10" si="1">E3*C3</f>
        <v>702000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10" t="s">
        <v>11</v>
      </c>
      <c r="B4" s="11">
        <v>46307.0</v>
      </c>
      <c r="C4" s="12">
        <v>4.0</v>
      </c>
      <c r="D4" s="13" t="s">
        <v>10</v>
      </c>
      <c r="E4" s="14">
        <v>242000.0</v>
      </c>
      <c r="F4" s="15"/>
      <c r="G4" s="14">
        <f t="shared" si="1"/>
        <v>968000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10" t="s">
        <v>12</v>
      </c>
      <c r="B5" s="11">
        <v>46307.0</v>
      </c>
      <c r="C5" s="12">
        <v>4.0</v>
      </c>
      <c r="D5" s="13" t="s">
        <v>10</v>
      </c>
      <c r="E5" s="14">
        <v>177000.0</v>
      </c>
      <c r="F5" s="15"/>
      <c r="G5" s="14">
        <f t="shared" si="1"/>
        <v>708000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10" t="s">
        <v>13</v>
      </c>
      <c r="B6" s="11">
        <v>46307.0</v>
      </c>
      <c r="C6" s="12">
        <v>5.0</v>
      </c>
      <c r="D6" s="13" t="s">
        <v>10</v>
      </c>
      <c r="E6" s="14">
        <v>115000.0</v>
      </c>
      <c r="F6" s="15"/>
      <c r="G6" s="14">
        <f t="shared" si="1"/>
        <v>575000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10" t="s">
        <v>14</v>
      </c>
      <c r="B7" s="11">
        <v>46307.0</v>
      </c>
      <c r="C7" s="12">
        <v>10.0</v>
      </c>
      <c r="D7" s="13" t="s">
        <v>10</v>
      </c>
      <c r="E7" s="14">
        <v>78000.0</v>
      </c>
      <c r="F7" s="15"/>
      <c r="G7" s="14">
        <f t="shared" si="1"/>
        <v>780000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10" t="s">
        <v>12</v>
      </c>
      <c r="B8" s="11">
        <v>46308.0</v>
      </c>
      <c r="C8" s="12">
        <v>5.0</v>
      </c>
      <c r="D8" s="13" t="s">
        <v>10</v>
      </c>
      <c r="E8" s="14">
        <v>177000.0</v>
      </c>
      <c r="F8" s="15"/>
      <c r="G8" s="14">
        <f t="shared" si="1"/>
        <v>885000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10" t="s">
        <v>15</v>
      </c>
      <c r="B9" s="11">
        <v>46308.0</v>
      </c>
      <c r="C9" s="12">
        <v>10.0</v>
      </c>
      <c r="D9" s="13" t="s">
        <v>10</v>
      </c>
      <c r="E9" s="14">
        <v>98000.0</v>
      </c>
      <c r="F9" s="15"/>
      <c r="G9" s="14">
        <f t="shared" si="1"/>
        <v>980000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10" t="s">
        <v>16</v>
      </c>
      <c r="B10" s="11">
        <v>46308.0</v>
      </c>
      <c r="C10" s="12">
        <v>1.0</v>
      </c>
      <c r="D10" s="13" t="s">
        <v>10</v>
      </c>
      <c r="E10" s="14">
        <v>206000.0</v>
      </c>
      <c r="F10" s="15"/>
      <c r="G10" s="14">
        <f t="shared" si="1"/>
        <v>206000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7" t="s">
        <v>17</v>
      </c>
      <c r="B11" s="8"/>
      <c r="C11" s="8"/>
      <c r="D11" s="8"/>
      <c r="E11" s="8"/>
      <c r="F11" s="8"/>
      <c r="G11" s="9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>
      <c r="A12" s="16" t="s">
        <v>18</v>
      </c>
      <c r="B12" s="17">
        <v>46304.0</v>
      </c>
      <c r="C12" s="18">
        <v>30.0</v>
      </c>
      <c r="D12" s="19" t="s">
        <v>19</v>
      </c>
      <c r="E12" s="20">
        <v>55000.0</v>
      </c>
      <c r="F12" s="21"/>
      <c r="G12" s="20">
        <f t="shared" ref="G12:G14" si="2">E12*C12</f>
        <v>1650000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>
      <c r="A13" s="16" t="s">
        <v>20</v>
      </c>
      <c r="B13" s="17">
        <v>46304.0</v>
      </c>
      <c r="C13" s="18">
        <v>40.0</v>
      </c>
      <c r="D13" s="19" t="s">
        <v>21</v>
      </c>
      <c r="E13" s="20">
        <v>55000.0</v>
      </c>
      <c r="F13" s="21"/>
      <c r="G13" s="20">
        <f t="shared" si="2"/>
        <v>2200000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16" t="s">
        <v>22</v>
      </c>
      <c r="B14" s="17">
        <v>46304.0</v>
      </c>
      <c r="C14" s="18">
        <v>50.0</v>
      </c>
      <c r="D14" s="19" t="s">
        <v>23</v>
      </c>
      <c r="E14" s="20">
        <v>15000.0</v>
      </c>
      <c r="F14" s="21"/>
      <c r="G14" s="20">
        <f t="shared" si="2"/>
        <v>750000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</sheetData>
  <mergeCells count="2">
    <mergeCell ref="A2:G2"/>
    <mergeCell ref="A11:G11"/>
  </mergeCells>
  <hyperlinks>
    <hyperlink r:id="rId1" ref="J1"/>
  </hyperlinks>
  <drawing r:id="rId2"/>
</worksheet>
</file>